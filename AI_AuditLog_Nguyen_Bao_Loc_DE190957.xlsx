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5947"/>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<sst xmlns="http://schemas.openxmlformats.org/spreadsheetml/2006/main" count="161" uniqueCount="127">
  <si>
    <t>AI AUDIT LOG - METADATA &amp; SUMMARY</t>
  </si>
  <si>
    <t>STUDENT INFORMATION</t>
  </si>
  <si>
    <t>Student Name:</t>
  </si>
  <si>
    <t>Nguyễn Bảo Lộc</t>
  </si>
  <si>
    <t/>
  </si>
  <si>
    <t>Course:</t>
  </si>
  <si>
    <t>SWP391 (Software Project)</t>
  </si>
  <si>
    <t>Student ID:</t>
  </si>
  <si>
    <t>DE190957</t>
  </si>
  <si>
    <t>Assignment:</t>
  </si>
  <si>
    <t>Attraction Ticket Booking &amp; Travel Management Platform</t>
  </si>
  <si>
    <t>AI USAGE SUMMARY</t>
  </si>
  <si>
    <t>Total Prompts Used (all AI tools):</t>
  </si>
  <si>
    <t>Core Prompts Logged:</t>
  </si>
  <si>
    <t>Selection Ratio:</t>
  </si>
  <si>
    <t>Hallucination Detected:</t>
  </si>
  <si>
    <t>AI TOOLS USED</t>
  </si>
  <si>
    <t>AI Tool</t>
  </si>
  <si>
    <t>Purpose</t>
  </si>
  <si>
    <t>Frequency</t>
  </si>
  <si>
    <t>Main Value</t>
  </si>
  <si>
    <t>Gemini</t>
  </si>
  <si>
    <t>Phân tích yêu cầu, review UML, thiết kế DB và Screen Flow</t>
  </si>
  <si>
    <t>High</t>
  </si>
  <si>
    <t>Kiểm tra kiến trúc, sửa lỗi logic sơ đồ và phát hiện thiếu sót luồng màn hình</t>
  </si>
  <si>
    <t>CORE PROMPTS DISTRIBUTION BY DTC COMPONENT</t>
  </si>
  <si>
    <t>DTC Component</t>
  </si>
  <si>
    <t>Number of Prompts</t>
  </si>
  <si>
    <t>Required (Min)</t>
  </si>
  <si>
    <t>Pass Status</t>
  </si>
  <si>
    <t>Decomposition</t>
  </si>
  <si>
    <t>Pass</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</si>
  <si>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</si>
  <si>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</si>
  <si>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</si>
  <si>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</si>
  <si>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</si>
  <si>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</si>
  <si>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</si>
  <si>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</si>
  <si>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</si>
  <si>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</si>
  <si>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</si>
  <si>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 (4 Components)</t>
  </si>
  <si>
    <t>Evidence</t>
  </si>
  <si>
    <t>001</t>
  </si>
  <si>
    <t>DECISION</t>
  </si>
  <si>
    <t>Decomposition (Database)</t>
  </si>
  <si>
    <t>Dự án có quy mô lớn (35 bảng dữ liệu), nếu liệt kê phẳng toàn bộ trong báo cáo sẽ rất rối rắm, khó theo dõi luồng kiến trúc và cấu trúc dữ liệu tổng quan.</t>
  </si>
  <si>
    <t>giải thích chi tiết cho tôi từng data base trong số 35 bảng của hệ thống</t>
  </si>
  <si>
    <t>AI phân tích hệ thống và gợi ý phân rã 35 bảng thành 7 nhóm module chức năng cốt lõi bao gồm: Người dùng &amp; Xác thực, Đối tác &amp; Địa điểm, Kho vé &amp; Lịch trình, Đặt vé &amp; Thanh toán, Trợ lý AI, Hỗ trợ &amp; Đánh giá, và Tài chính.</t>
  </si>
  <si>
    <t>- Critical Thinking: Trình bày 35 bảng phẳng là phi logic và thiếu tính khoa học đối với hệ thống lớn.
- Contextualization: Hệ thống thiết kế theo hướng module hóa, chia nhóm hoàn toàn khớp với phân rã chức năng nghiệp vụ.
- Creative Synthesis: Tiếp thu cấu trúc 7 nhóm của AI nhưng tự tay tinh chỉnh mối quan hệ khóa ngoại (Foreign Keys) giữa bảng Bookings và Payment Transactions để đảm bảo tính ACID.
- Decision: Áp dụng cấu trúc phân rã 7 nhóm DB này vào tài liệu đặc tả kiến trúc dữ liệu.</t>
  </si>
  <si>
    <t>Ảnh chụp màn hình sơ đồ ERD chia 7 phân vùng màu chức năng rõ ràng.</t>
  </si>
  <si>
    <t>002</t>
  </si>
  <si>
    <t>PROBLEM-SOLVING</t>
  </si>
  <si>
    <t>Pattern Recognition (UML Use Case)</t>
  </si>
  <si>
    <t>Giảng viên nhận xét sơ đồ UML Module Feedback bị sai lỗi Phân rã chức năng (Functional Decomposition) do lạm dụng quá nhiều mối quan hệ &lt;&lt;include&gt;&gt; và &lt;&lt;extend&gt;&gt; rườm rà ở các tác vụ con như Send, Reply, View feedback.</t>
  </si>
  <si>
    <t>giảng viên của tôi bảo các mũi tên include và extend sai ở các ô Send, Reply, View feedback. Tôi có thể bỏ chúng đi và sửa ra sao?</t>
  </si>
  <si>
    <t>AI chỉ ra lỗi tư duy theo 'luồng màn hình UI' thay vì 'mục tiêu của Actor'. AI khuyên xóa bỏ toàn bộ các mũi tên nét đứt phụ thuộc rườm rà và kết nối trực tiếp nét liền từ Actor đến các Use Case độc lập.</t>
  </si>
  <si>
    <t>- Critical Thinking: Nhận ra bản chất Use Case là mục tiêu của tác nhân, không phải các bước tuần tự trên giao diện.
- Contextualization: Ràng buộc phải xem đánh giá rồi mới được phản hồi là logic nghiệp vụ ở UI/Backend, không phải quan hệ phụ thuộc UML.
- Creative Synthesis: Thực hiện xóa sạch các quan hệ nét đứt sai quy chuẩn, tách thành các Use Case CRUD độc lập, đồng thời bổ sung Business Rules vào tài liệu Word để mô tả ràng buộc tuần tự.
- Decision: Cập nhật sơ đồ UML chuẩn hóa, dùng nét liền (Association) trực tiếp từ các Actor tương ứng.</t>
  </si>
  <si>
    <t>Hình ảnh so sánh sơ đồ Use Case Module Feedback trước và sau khi chuẩn hóa.</t>
  </si>
  <si>
    <t>003</t>
  </si>
  <si>
    <t>Algorithms / Logic (UML Logic Error)</t>
  </si>
  <si>
    <t>Phát hiện lỗi logic nghiêm trọng về chiều mũi tên quan hệ giữa hành động chính 'Khóa/Mở khóa tài khoản đối tác' và hành động đi kèm 'Gửi thông báo trạng thái'.</t>
  </si>
  <si>
    <t>ở sơ đồ hình này bị sai logic ở lock or unlock partner account và send account status notification đúng không?</t>
  </si>
  <si>
    <t>AI xác nhận lỗi nghiêm trọng: Mũi tên &lt;&lt;include&gt;&gt; đang trỏ ngược từ hành động 'Gửi thông báo' về 'Khóa tài khoản', làm sai lệch logic thành: hễ gửi thông báo bất kỳ thì hệ thống phải khóa tài khoản đối tác.</t>
  </si>
  <si>
    <t>- Critical Thinking: Theo chuẩn UML 2.5, mũi tên &lt;&lt;include&gt;&gt; bắt buộc phải hướng từ Use Case gốc sang Use Case đi kèm bắt buộc.
- Contextualization: Trong nghiệp vụ thực tế, Admin thực hiện khóa tài khoản thì hệ thống tự động kích hoạt luồng gửi email/thông báo ngầm cho đối tác.
- Creative Synthesis: Tiến hành đảo ngược chiều mũi tên cho đúng chuẩn kiến trúc. Đồng thời rà soát chéo toàn bộ các quan hệ &lt;&lt;include&gt;&gt; khác trong hệ thống (như Đặt vé -&gt; Gửi QR vé).
- Decision: Chỉnh sửa lại chính xác hướng mũi tên trỏ từ Khóa tài khoản sang Gửi thông báo trên công cụ Draw.io.</t>
  </si>
  <si>
    <t>Screenshot vị trí mũi tên bị ngược trong bản vẽ cũ và sơ đồ hoàn chỉnh đã sửa.</t>
  </si>
  <si>
    <t>004</t>
  </si>
  <si>
    <t>VERIFICATION</t>
  </si>
  <si>
    <t>Abstraction (Screen Flow)</t>
  </si>
  <si>
    <t>Cần kiểm chứng và đối chiếu chéo xem sơ đồ luồng màn hình (Screen Flow Diagram) hiện tại đã bao phủ trọn vẹn và khớp với danh sách Use Case và thiết kế cơ sở dữ liệu chưa.</t>
  </si>
  <si>
    <t>hãy đọc kĩ file danh sách Use Case và Database, sau đó cho tôi biết phần sơ đồ screen flow bị vẽ thiếu hay sai ở đâu không</t>
  </si>
  <si>
    <t>AI thực hiện đối chiếu chéo và phát hiện Screen Flow bị thiếu sót 5 nhánh luồng chức năng quan trọng: Đăng nhập bên thứ 3 (Google OAuth), Trung tâm thông báo, Luồng duyệt hoàn tiền (Refund Flow), Báo cáo tổng quan Admin, và Khối Banner khuyến mãi trang chủ.</t>
  </si>
  <si>
    <t>- Critical Thinking: Thiếu các luồng màn hình này sẽ làm cho các bảng dữ liệu tương ứng trong DB (như OAuth accounts, Notification logs, Refund requests) trở thành dữ liệu rác không có UI xử lý.
- Contextualization: Đối với nền tảng Booking du lịch, việc đăng nhập nhanh bằng Social Login và hiển thị Banner khuyến mãi là cực kỳ thiết yếu cho trải nghiệm người dùng.
- Creative Synthesis: Tự tay bổ sung thêm 5 nhánh màn hình này vào thiết kế Figma. Sử dụng mã màu Xanh lá để đánh dấu các node mới thêm nhằm dễ dàng giải trình trước hội đồng.
- Decision: Cập nhật lại toàn bộ Screen Flow Diagram vào tài liệu thiết kế hệ thống.</t>
  </si>
  <si>
    <t>Ảnh chụp đối chiếu sự đồng bộ giữa Use Case đặc tả và Node màn hình tương ứng trên sơ đồ Screen Flow.</t>
  </si>
  <si>
    <t>HALLUCINATION DETECTION LOG</t>
  </si>
  <si>
    <t>MỎI PROJECT PHẢI PHÁT HIỆN ÍT NHẤT: Lab (≥1), Assignment (≥2), Project (≥3) cases hallucination</t>
  </si>
  <si>
    <t>Entry # (from Sheet 2)</t>
  </si>
  <si>
    <t>Hallucination Type</t>
  </si>
  <si>
    <t>AI's Claim (AI trả lời sai gì?)</t>
  </si>
  <si>
    <t>Reality Check (Kiểm chứng thực tế)</t>
  </si>
  <si>
    <t>How Detected (Cách phát hiện)</t>
  </si>
  <si>
    <t>Corrective Action (Hành động sửa sai)</t>
  </si>
  <si>
    <t>Context Misunderstanding</t>
  </si>
  <si>
    <t>Khi gợi ý phân rã và tinh chỉnh Use Case cho Module Feedback, AI cho rằng chức năng 'View Feedback and Rating' nên bị xóa hoàn toàn khỏi sơ đồ vì nó là tính năng mặc định (implicit function), không cần vẽ.</t>
  </si>
  <si>
    <t>Trong hệ thống thực tế của môn học và yêu cầu phân quyền (Authorization matrix), hai đối tượng Admin và Attraction Partner bắt buộc phải được cấp quyền hợp lệ mới được vào xem chi tiết các Feedback để quản lý và phản hồi. Không thể coi là tính năng ẩn mặc định.</t>
  </si>
  <si>
    <t>Đối chiếu trực tiếp với tài liệu Phân quyền hệ thống (Authorization Role Matrix) và yêu cầu nghiệp vụ quản trị sàn.</t>
  </si>
  <si>
    <t>Bác bỏ lời khuyên xóa của AI. Tôi quyết định giữ lại Use Case 'View feedback and rating' làm một tác vụ độc lập, dùng nét liền (Association) nối trực tiếp từ cả 3 Actor (Customer, Partner, Admin).</t>
  </si>
  <si>
    <t>Logic Error</t>
  </si>
  <si>
    <t>AI đề xuất sửa lỗi logic bằng cách vẽ mũi tên nét đứt mang nhãn &lt;&lt;extend&gt;&gt; trỏ ngược từ Use Case 'Send account status notification' về Use Case 'Lock or Unlock Partner account' và giải thích rằng đây là một hành động tùy chọn khi có sự kiện khóa tài khoản.</t>
  </si>
  <si>
    <t>Quy định nghiêm ngặt của Business Rules trong dự án đặt ra: Khi Admin quyết định khóa hoặc mở khóa tài khoản của đối tác, hệ thống bắt buộc (bất biến) phải gửi email thông báo trạng thái tài khoản cho đối tác biết để đảm bảo tính minh bạch. Đây là quan hệ bắt buộc (Include) chứ không phải tùy chọn (Extend).</t>
  </si>
  <si>
    <t>Áp dụng tư duy phản biện kỹ thuật phần mềm và tra cứu đặc tả chuẩn UML 2.5 về sự khác biệt cốt lõi giữa quan hệ Include và Extend.</t>
  </si>
  <si>
    <t>Không đồng ý với đề xuất của AI. Tôi tự chỉnh sửa mũi tên thành quan hệ &lt;&lt;include&gt;&gt; và hướng đúng chiều mũi tên từ Use Case chính (Lock/Unlock) sang Use Case phụ thuộc (Send Notification).</t>
  </si>
  <si>
    <t>Oversimplification</t>
  </si>
  <si>
    <t>Khi bổ sung luồng chức năng Hoàn tiền (Refund Flow) vào Sơ đồ luồng màn hình (Screen Flow), AI thiết kế một luồng cực kỳ đơn giản: Từ màn hình Khách hàng gửi 'Yêu cầu hoàn tiền' rẽ nhánh thẳng đến màn hình 'Hoàn tiền thành công' thông qua API cổng thanh toán.</t>
  </si>
  <si>
    <t>Trong các hệ thống thương mại điện tử và Booking thực tế, không bao giờ có chuyện tiền được tự động hoàn về tài khoản mà không có sự kiểm duyệt. Quy trình bắt buộc phải có bước 'Admin hoặc Staff hỗ trợ phê duyệt (Review &amp; Approve)' để kiểm tra tính hợp lệ của vé và chính sách hủy phòng/vé.</t>
  </si>
  <si>
    <t>So sánh đối chiếu chéo với các quy định Business Rules về tài chính và quy trình vận hành nền tảng du lịch trong file SRS của nhóm.</t>
  </si>
  <si>
    <t>Bổ sung thủ công một Node màn hình trung gian 'Review &amp; Approve Refund Sheet' dành riêng cho role Support Staff vào sơ đồ Screen Flow trước khi chuyển sang trạng thái hoàn tiền thành công.</t>
  </si>
  <si>
    <t>SELF-ASSESSMENT CHECKLIST (Trước khi nộp)</t>
  </si>
  <si>
    <t>Kiểm tra kỹ trước khi nộp. MỖI ENTRY phải pass ≥4/5 tiêu chí dưới đây.</t>
  </si>
  <si>
    <t>A. KIỂM TRA CHẤT LƯỢNG MỖI ENTRY (Pass ≥4/5)</t>
  </si>
  <si>
    <t>#</t>
  </si>
  <si>
    <t>Tiêu chí đánh giá chất lượng</t>
  </si>
  <si>
    <t>Entry 001</t>
  </si>
  <si>
    <t>Entry 002</t>
  </si>
  <si>
    <t>Entry 003</t>
  </si>
  <si>
    <t>Entry 004</t>
  </si>
  <si>
    <t>Prompt này ảnh hưởng đến quyết định quan trọng trong project?</t>
  </si>
  <si>
    <t>Nếu không có prompt này, project có thay đổi về architecture/design?</t>
  </si>
  <si>
    <t>Tôi có thể giải thích lý do chọn/không chọn gợi ý của AI?</t>
  </si>
  <si>
    <t>Có minh chứng cụ thể (sơ đồ, đặc tả, screenshot đối chiếu)?</t>
  </si>
  <si>
    <t>Prompt này phản ánh tư duy phản biện, không chỉ copy rập khuôn AI?</t>
  </si>
  <si>
    <t>B. KIỂM TRA TỔNG THỂ LOG</t>
  </si>
  <si>
    <t>Tiêu chí tổng thể</t>
  </si>
  <si>
    <t>Trạng thái (Pass?)</t>
  </si>
  <si>
    <t>Giá trị hiện tại / Ghi chú</t>
  </si>
  <si>
    <t>Số lượng entries nằm trong khoảng quy định (min-max)?</t>
  </si>
  <si>
    <t>4 Core Prompts chất lượng bám sát kiến trúc phần mềm.</t>
  </si>
  <si>
    <t>Mỗi thành phần DTC component có ít nhất 1 core prompt tương ứng?</t>
  </si>
  <si>
    <t>Đầy đủ cả 4 cấu phần: Decomposition, Pattern Recognition, Abstraction, Algorithms.</t>
  </si>
  <si>
    <t>Đã phát hiện và xử lý ≥ số lượng lỗi hallucination yêu cầu?</t>
  </si>
  <si>
    <t>Đã phát hiện và ghi log rõ ràng 3 trường hợp AI đưa thông tin sai lệch logic và thiếu sót nghiệp vụ.</t>
  </si>
  <si>
    <t>Mỗi entry đều có cấu phần Human Delta đầy đủ (trả lời trọn vẹn 4 câu hỏi)?</t>
  </si>
  <si>
    <t>Tất cả các entry ở Sheet 2 đều làm rõ tư duy Critical Thinking, Contextualization, Creative Synthesis và Quyết định sau cùng.</t>
  </si>
  <si>
    <t>Có đầy đủ minh chứng (evidence/screenshot) cho ≥70% số lượng entries?</t>
  </si>
  <si>
    <t>Đạt tỉ lệ 100% (cả 4 entries đều đính kèm mô tả minh chứng đối chiếu trực quan).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</si>
</sst>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7">
    <font>
      <sz val="11"/>
      <color theme="1"/>
      <name val="Calibri"/>
      <charset val="134"/>
      <scheme val="minor"/>
    </font>
    <font>
      <b/>
      <sz val="16"/>
      <color rgb="FF1F497D"/>
      <name val="Arial"/>
      <charset val="134"/>
    </font>
    <font>
      <i/>
      <sz val="10"/>
      <name val="Arial"/>
      <charset val="134"/>
    </font>
    <font>
      <b/>
      <sz val="12"/>
      <color rgb="FF2C5282"/>
      <name val="Arial"/>
      <charset val="134"/>
    </font>
    <font>
      <b/>
      <sz val="10"/>
      <color rgb="FFFFFFFF"/>
      <name val="Arial"/>
      <charset val="134"/>
    </font>
    <font>
      <sz val="10"/>
      <name val="Arial"/>
      <charset val="134"/>
    </font>
    <font>
      <b/>
      <sz val="1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EBF8FF"/>
        <bgColor rgb="FFEBF8FF"/>
      </patternFill>
    </fill>
    <fill>
      <patternFill patternType="solid">
        <fgColor rgb="FF1F497D"/>
        <bgColor rgb="FF1F497D"/>
      </patternFill>
    </fill>
    <fill>
      <patternFill patternType="solid">
        <fgColor rgb="FFF7FAFC"/>
        <bgColor rgb="FFF7FAF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BD5E0"/>
      </left>
      <right style="thin">
        <color rgb="FFCBD5E0"/>
      </right>
      <top style="thin">
        <color rgb="FFCBD5E0"/>
      </top>
      <bottom style="thin">
        <color rgb="FFCBD5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5">
    <xf numFmtId="0" fontId="0" fillId="0" borderId="0" xfId="0"/>
    <xf numFmtId="0" fontId="1" fillId="0" borderId="0" xfId="0" applyFont="1"/>
    <xf numFmtId="0" fontId="2" fillId="0" borderId="0" xfId="0" applyFont="1"/>
    <xf numFmtId="0" fontId="3" fillId="2" borderId="0" xfId="0" applyFont="1" applyFill="1"/>
    <xf numFmtId="0" fontId="4" fillId="3" borderId="0" xfId="0" applyFont="1" applyFill="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0" borderId="0" xfId="0" applyFont="1"/>
    <xf numFmtId="0" fontId="5" fillId="0" borderId="0" xfId="0" applyFont="1"/>
    <xf numFmtId="178" fontId="5" fillId="0" borderId="0" xfId="0" applyNumberFormat="1" applyFont="1"/>
    <xf numFmtId="0" fontId="5" fillId="0" borderId="1" xfId="0" applyFont="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tabSelected="1" workbookViewId="0">
      <selection activeCell="A1" sqref="A1"/>
    </sheetView>
  </sheetViews>
  <sheetFormatPr defaultColWidth="9" defaultRowHeight="14.4" outlineLevelCol="4"/>
  <cols>
    <col min="1" max="1" width="32" customWidth="1"/>
    <col min="2" max="2" width="45" customWidth="1"/>
    <col min="3" max="3" width="15" customWidth="1"/>
    <col min="4" max="4" width="32" customWidth="1"/>
    <col min="5" max="5" width="45" customWidth="1"/>
  </cols>
  <sheetData>
    <row r="1" ht="30" customHeight="1" spans="1:5">
      <c r="A1" s="1" t="s">
        <v>0</v>
      </c>
    </row>
    <row r="3" ht="15.6" spans="1:5">
      <c r="A3" s="3" t="s">
        <v>1</v>
      </c>
    </row>
    <row r="4" spans="1:5">
      <c r="A4" s="11" t="s">
        <v>2</v>
      </c>
      <c r="B4" s="12" t="s">
        <v>3</v>
      </c>
      <c r="C4" t="s">
        <v>4</v>
      </c>
      <c r="D4" s="11" t="s">
        <v>5</v>
      </c>
      <c r="E4" s="12" t="s">
        <v>6</v>
      </c>
    </row>
    <row r="5" spans="1:5">
      <c r="A5" s="11" t="s">
        <v>7</v>
      </c>
      <c r="B5" s="12" t="s">
        <v>8</v>
      </c>
      <c r="C5" t="s">
        <v>4</v>
      </c>
      <c r="D5" s="11" t="s">
        <v>9</v>
      </c>
      <c r="E5" s="12" t="s">
        <v>10</v>
      </c>
    </row>
    <row r="7" ht="15.6" spans="1:5">
      <c r="A7" s="3" t="s">
        <v>11</v>
      </c>
    </row>
    <row r="8" spans="1:5">
      <c r="A8" s="11" t="s">
        <v>12</v>
      </c>
      <c r="B8" s="12">
        <v>45</v>
      </c>
    </row>
    <row r="9" spans="1:5">
      <c r="A9" s="11" t="s">
        <v>13</v>
      </c>
      <c r="B9" s="12">
        <v>4</v>
      </c>
    </row>
    <row r="10" spans="1:5">
      <c r="A10" s="11" t="s">
        <v>14</v>
      </c>
      <c r="B10" s="13">
        <f>B9/B8</f>
        <v>0.0888888888888889</v>
      </c>
    </row>
    <row r="11" spans="1:5">
      <c r="A11" s="11" t="s">
        <v>15</v>
      </c>
      <c r="B11" s="12">
        <v>3</v>
      </c>
    </row>
    <row r="13" ht="15.6" spans="1:5">
      <c r="A13" s="3" t="s">
        <v>16</v>
      </c>
    </row>
    <row r="14" spans="1:5">
      <c r="A14" s="4" t="s">
        <v>17</v>
      </c>
      <c r="B14" s="4" t="s">
        <v>18</v>
      </c>
      <c r="C14" s="4" t="s">
        <v>19</v>
      </c>
      <c r="D14" s="4" t="s">
        <v>20</v>
      </c>
    </row>
    <row r="15" ht="26.4" spans="1:5">
      <c r="A15" s="6" t="s">
        <v>21</v>
      </c>
      <c r="B15" s="6" t="s">
        <v>22</v>
      </c>
      <c r="C15" s="6" t="s">
        <v>23</v>
      </c>
      <c r="D15" s="6" t="s">
        <v>24</v>
      </c>
    </row>
    <row r="17" ht="15.6" spans="1:4">
      <c r="A17" s="3" t="s">
        <v>25</v>
      </c>
    </row>
    <row r="18" spans="1:4">
      <c r="A18" s="4" t="s">
        <v>26</v>
      </c>
      <c r="B18" s="4" t="s">
        <v>27</v>
      </c>
      <c r="C18" s="4" t="s">
        <v>28</v>
      </c>
      <c r="D18" s="4" t="s">
        <v>29</v>
      </c>
    </row>
    <row r="19" spans="1:4">
      <c r="A19" s="14" t="s">
        <v>30</v>
      </c>
      <c r="B19" s="5">
        <v>1</v>
      </c>
      <c r="C19" s="5">
        <v>1</v>
      </c>
      <c r="D19" s="7" t="s">
        <v>31</v>
      </c>
    </row>
    <row r="20" spans="1:4">
      <c r="A20" s="14" t="s">
        <v>32</v>
      </c>
      <c r="B20" s="5">
        <v>1</v>
      </c>
      <c r="C20" s="5">
        <v>1</v>
      </c>
      <c r="D20" s="7" t="s">
        <v>31</v>
      </c>
    </row>
    <row r="21" spans="1:4">
      <c r="A21" s="14" t="s">
        <v>33</v>
      </c>
      <c r="B21" s="5">
        <v>1</v>
      </c>
      <c r="C21" s="5">
        <v>1</v>
      </c>
      <c r="D21" s="7" t="s">
        <v>31</v>
      </c>
    </row>
    <row r="22" spans="1:4">
      <c r="A22" s="14" t="s">
        <v>34</v>
      </c>
      <c r="B22" s="5">
        <v>1</v>
      </c>
      <c r="C22" s="5">
        <v>1</v>
      </c>
      <c r="D22" s="7" t="s">
        <v>31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A1" sqref="A1"/>
    </sheetView>
  </sheetViews>
  <sheetFormatPr defaultColWidth="9" defaultRowHeight="14.4" outlineLevelRow="7" outlineLevelCol="7"/>
  <cols>
    <col min="1" max="1" width="10" customWidth="1"/>
    <col min="2" max="3" width="25" customWidth="1"/>
    <col min="4" max="6" width="40" customWidth="1"/>
    <col min="7" max="7" width="50" customWidth="1"/>
    <col min="8" max="8" width="35" customWidth="1"/>
  </cols>
  <sheetData>
    <row r="1" ht="25" customHeight="1" spans="1:8">
      <c r="A1" s="1" t="s">
        <v>35</v>
      </c>
    </row>
    <row r="2" spans="1:8">
      <c r="A2" s="2" t="s">
        <v>36</v>
      </c>
    </row>
    <row r="4" ht="25" customHeight="1" spans="1:8">
      <c r="A4" s="4" t="s">
        <v>37</v>
      </c>
      <c r="B4" s="4" t="s">
        <v>38</v>
      </c>
      <c r="C4" s="4" t="s">
        <v>39</v>
      </c>
      <c r="D4" s="4" t="s">
        <v>40</v>
      </c>
      <c r="E4" s="4" t="s">
        <v>41</v>
      </c>
      <c r="F4" s="4" t="s">
        <v>42</v>
      </c>
      <c r="G4" s="4" t="s">
        <v>43</v>
      </c>
      <c r="H4" s="4" t="s">
        <v>44</v>
      </c>
    </row>
    <row r="5" ht="110" customHeight="1" spans="1:8">
      <c r="A5" s="8" t="s">
        <v>45</v>
      </c>
      <c r="B5" s="8" t="s">
        <v>46</v>
      </c>
      <c r="C5" s="9" t="s">
        <v>47</v>
      </c>
      <c r="D5" s="10" t="s">
        <v>48</v>
      </c>
      <c r="E5" s="10" t="s">
        <v>49</v>
      </c>
      <c r="F5" s="10" t="s">
        <v>50</v>
      </c>
      <c r="G5" s="10" t="s">
        <v>51</v>
      </c>
      <c r="H5" s="10" t="s">
        <v>52</v>
      </c>
    </row>
    <row r="6" ht="110" customHeight="1" spans="1:8">
      <c r="A6" s="5" t="s">
        <v>53</v>
      </c>
      <c r="B6" s="5" t="s">
        <v>54</v>
      </c>
      <c r="C6" s="7" t="s">
        <v>55</v>
      </c>
      <c r="D6" s="6" t="s">
        <v>56</v>
      </c>
      <c r="E6" s="6" t="s">
        <v>57</v>
      </c>
      <c r="F6" s="6" t="s">
        <v>58</v>
      </c>
      <c r="G6" s="6" t="s">
        <v>59</v>
      </c>
      <c r="H6" s="6" t="s">
        <v>60</v>
      </c>
    </row>
    <row r="7" ht="110" customHeight="1" spans="1:8">
      <c r="A7" s="8" t="s">
        <v>61</v>
      </c>
      <c r="B7" s="8" t="s">
        <v>54</v>
      </c>
      <c r="C7" s="9" t="s">
        <v>62</v>
      </c>
      <c r="D7" s="10" t="s">
        <v>63</v>
      </c>
      <c r="E7" s="10" t="s">
        <v>64</v>
      </c>
      <c r="F7" s="10" t="s">
        <v>65</v>
      </c>
      <c r="G7" s="10" t="s">
        <v>66</v>
      </c>
      <c r="H7" s="10" t="s">
        <v>67</v>
      </c>
    </row>
    <row r="8" ht="110" customHeight="1" spans="1:8">
      <c r="A8" s="5" t="s">
        <v>68</v>
      </c>
      <c r="B8" s="5" t="s">
        <v>69</v>
      </c>
      <c r="C8" s="7" t="s">
        <v>70</v>
      </c>
      <c r="D8" s="6" t="s">
        <v>71</v>
      </c>
      <c r="E8" s="6" t="s">
        <v>72</v>
      </c>
      <c r="F8" s="6" t="s">
        <v>73</v>
      </c>
      <c r="G8" s="6" t="s">
        <v>74</v>
      </c>
      <c r="H8" s="6" t="s">
        <v>75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workbookViewId="0">
      <selection activeCell="A1" sqref="A1"/>
    </sheetView>
  </sheetViews>
  <sheetFormatPr defaultColWidth="9" defaultRowHeight="14.4" outlineLevelRow="6" outlineLevelCol="5"/>
  <cols>
    <col min="1" max="1" width="15" customWidth="1"/>
    <col min="2" max="2" width="25" customWidth="1"/>
    <col min="3" max="6" width="45" customWidth="1"/>
  </cols>
  <sheetData>
    <row r="1" ht="25" customHeight="1" spans="1:6">
      <c r="A1" s="1" t="s">
        <v>76</v>
      </c>
    </row>
    <row r="2" spans="1:6">
      <c r="A2" s="2" t="s">
        <v>77</v>
      </c>
    </row>
    <row r="4" ht="25" customHeight="1" spans="1:6">
      <c r="A4" s="4" t="s">
        <v>78</v>
      </c>
      <c r="B4" s="4" t="s">
        <v>79</v>
      </c>
      <c r="C4" s="4" t="s">
        <v>80</v>
      </c>
      <c r="D4" s="4" t="s">
        <v>81</v>
      </c>
      <c r="E4" s="4" t="s">
        <v>82</v>
      </c>
      <c r="F4" s="4" t="s">
        <v>83</v>
      </c>
    </row>
    <row r="5" ht="95" customHeight="1" spans="1:6">
      <c r="A5" s="8" t="s">
        <v>53</v>
      </c>
      <c r="B5" s="9" t="s">
        <v>84</v>
      </c>
      <c r="C5" s="10" t="s">
        <v>85</v>
      </c>
      <c r="D5" s="10" t="s">
        <v>86</v>
      </c>
      <c r="E5" s="10" t="s">
        <v>87</v>
      </c>
      <c r="F5" s="10" t="s">
        <v>88</v>
      </c>
    </row>
    <row r="6" ht="95" customHeight="1" spans="1:6">
      <c r="A6" s="5" t="s">
        <v>61</v>
      </c>
      <c r="B6" s="7" t="s">
        <v>89</v>
      </c>
      <c r="C6" s="6" t="s">
        <v>90</v>
      </c>
      <c r="D6" s="6" t="s">
        <v>91</v>
      </c>
      <c r="E6" s="6" t="s">
        <v>92</v>
      </c>
      <c r="F6" s="6" t="s">
        <v>93</v>
      </c>
    </row>
    <row r="7" ht="95" customHeight="1" spans="1:6">
      <c r="A7" s="8" t="s">
        <v>68</v>
      </c>
      <c r="B7" s="9" t="s">
        <v>94</v>
      </c>
      <c r="C7" s="10" t="s">
        <v>95</v>
      </c>
      <c r="D7" s="10" t="s">
        <v>96</v>
      </c>
      <c r="E7" s="10" t="s">
        <v>97</v>
      </c>
      <c r="F7" s="10" t="s">
        <v>98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A1" sqref="A1"/>
    </sheetView>
  </sheetViews>
  <sheetFormatPr defaultColWidth="9" defaultRowHeight="14.4" outlineLevelCol="5"/>
  <cols>
    <col min="1" max="1" width="6" customWidth="1"/>
    <col min="2" max="2" width="55" customWidth="1"/>
    <col min="3" max="6" width="14" customWidth="1"/>
  </cols>
  <sheetData>
    <row r="1" ht="25" customHeight="1" spans="1:6">
      <c r="A1" s="1" t="s">
        <v>99</v>
      </c>
    </row>
    <row r="2" spans="1:6">
      <c r="A2" s="2" t="s">
        <v>100</v>
      </c>
    </row>
    <row r="4" ht="15.6" spans="1:6">
      <c r="A4" s="3" t="s">
        <v>101</v>
      </c>
    </row>
    <row r="5" spans="1:6">
      <c r="A5" s="4" t="s">
        <v>102</v>
      </c>
      <c r="B5" s="4" t="s">
        <v>103</v>
      </c>
      <c r="C5" s="4" t="s">
        <v>104</v>
      </c>
      <c r="D5" s="4" t="s">
        <v>105</v>
      </c>
      <c r="E5" s="4" t="s">
        <v>106</v>
      </c>
      <c r="F5" s="4" t="s">
        <v>107</v>
      </c>
    </row>
    <row r="6" ht="22" customHeight="1" spans="1:6">
      <c r="A6" s="5">
        <v>1</v>
      </c>
      <c r="B6" s="6" t="s">
        <v>108</v>
      </c>
      <c r="C6" s="7" t="s">
        <v>31</v>
      </c>
      <c r="D6" s="7" t="s">
        <v>31</v>
      </c>
      <c r="E6" s="7" t="s">
        <v>31</v>
      </c>
      <c r="F6" s="7" t="s">
        <v>31</v>
      </c>
    </row>
    <row r="7" ht="22" customHeight="1" spans="1:6">
      <c r="A7" s="5">
        <v>2</v>
      </c>
      <c r="B7" s="6" t="s">
        <v>109</v>
      </c>
      <c r="C7" s="7" t="s">
        <v>31</v>
      </c>
      <c r="D7" s="7" t="s">
        <v>31</v>
      </c>
      <c r="E7" s="7" t="s">
        <v>31</v>
      </c>
      <c r="F7" s="7" t="s">
        <v>31</v>
      </c>
    </row>
    <row r="8" ht="22" customHeight="1" spans="1:6">
      <c r="A8" s="5">
        <v>3</v>
      </c>
      <c r="B8" s="6" t="s">
        <v>110</v>
      </c>
      <c r="C8" s="7" t="s">
        <v>31</v>
      </c>
      <c r="D8" s="7" t="s">
        <v>31</v>
      </c>
      <c r="E8" s="7" t="s">
        <v>31</v>
      </c>
      <c r="F8" s="7" t="s">
        <v>31</v>
      </c>
    </row>
    <row r="9" ht="22" customHeight="1" spans="1:6">
      <c r="A9" s="5">
        <v>4</v>
      </c>
      <c r="B9" s="6" t="s">
        <v>111</v>
      </c>
      <c r="C9" s="7" t="s">
        <v>31</v>
      </c>
      <c r="D9" s="7" t="s">
        <v>31</v>
      </c>
      <c r="E9" s="7" t="s">
        <v>31</v>
      </c>
      <c r="F9" s="7" t="s">
        <v>31</v>
      </c>
    </row>
    <row r="10" ht="22" customHeight="1" spans="1:6">
      <c r="A10" s="5">
        <v>5</v>
      </c>
      <c r="B10" s="6" t="s">
        <v>112</v>
      </c>
      <c r="C10" s="7" t="s">
        <v>31</v>
      </c>
      <c r="D10" s="7" t="s">
        <v>31</v>
      </c>
      <c r="E10" s="7" t="s">
        <v>31</v>
      </c>
      <c r="F10" s="7" t="s">
        <v>31</v>
      </c>
    </row>
    <row r="11" ht="15.6" spans="1:6">
      <c r="A11" s="3" t="s">
        <v>113</v>
      </c>
    </row>
    <row r="13" ht="26.4" spans="1:6">
      <c r="A13" s="4" t="s">
        <v>102</v>
      </c>
      <c r="B13" s="4" t="s">
        <v>114</v>
      </c>
      <c r="C13" s="4" t="s">
        <v>115</v>
      </c>
      <c r="D13" s="4" t="s">
        <v>116</v>
      </c>
    </row>
    <row r="14" ht="25" customHeight="1" spans="1:6">
      <c r="A14" s="5">
        <v>1</v>
      </c>
      <c r="B14" s="6" t="s">
        <v>117</v>
      </c>
      <c r="C14" s="7" t="s">
        <v>31</v>
      </c>
      <c r="D14" s="6" t="s">
        <v>118</v>
      </c>
    </row>
    <row r="15" ht="25" customHeight="1" spans="1:6">
      <c r="A15" s="5">
        <v>2</v>
      </c>
      <c r="B15" s="6" t="s">
        <v>119</v>
      </c>
      <c r="C15" s="7" t="s">
        <v>31</v>
      </c>
      <c r="D15" s="6" t="s">
        <v>120</v>
      </c>
    </row>
    <row r="16" ht="25" customHeight="1" spans="1:6">
      <c r="A16" s="5">
        <v>3</v>
      </c>
      <c r="B16" s="6" t="s">
        <v>121</v>
      </c>
      <c r="C16" s="7" t="s">
        <v>31</v>
      </c>
      <c r="D16" s="6" t="s">
        <v>122</v>
      </c>
    </row>
    <row r="17" ht="25" customHeight="1" spans="1:4">
      <c r="A17" s="5">
        <v>4</v>
      </c>
      <c r="B17" s="6" t="s">
        <v>123</v>
      </c>
      <c r="C17" s="7" t="s">
        <v>31</v>
      </c>
      <c r="D17" s="6" t="s">
        <v>124</v>
      </c>
    </row>
    <row r="18" ht="25" customHeight="1" spans="1:4">
      <c r="A18" s="5">
        <v>5</v>
      </c>
      <c r="B18" s="6" t="s">
        <v>125</v>
      </c>
      <c r="C18" s="7" t="s">
        <v>31</v>
      </c>
      <c r="D18" s="6" t="s">
        <v>126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0405 Loc</cp:lastModifiedBy>
  <dcterms:created xsi:type="dcterms:W3CDTF">2026-06-07T12:33:00Z</dcterms:created>
  <dcterms:modified xsi:type="dcterms:W3CDTF">2026-06-07T12:39:30Z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D907816F0CFA441499A4C9C7C078469F_12</vt:lpwstr>
  </property>
  <property fmtid="{D5CDD505-2E9C-101B-9397-08002B2CF9AE}" pid="3" name="KSOProductBuildVer">
    <vt:lpwstr>1033-12.1.0.24752</vt:lpwstr>
  </property>
  <property fmtid="{D5CDD505-2E9C-101B-9397-08002B2CF9AE}" pid="4" name="CalculationRule">
    <vt:i4>0</vt:i4>
  </property>
</Properties>
</file>